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S\eas-prj\FijiGov\NFMSIntegrationFramework\code\calcs\FijiNFMSIntegration\Data\mrAuditFeb24\"/>
    </mc:Choice>
  </mc:AlternateContent>
  <xr:revisionPtr revIDLastSave="0" documentId="13_ncr:1_{02C5B63D-AA5B-4909-9F63-A64568FFC169}" xr6:coauthVersionLast="47" xr6:coauthVersionMax="47" xr10:uidLastSave="{00000000-0000-0000-0000-000000000000}"/>
  <bookViews>
    <workbookView xWindow="1425" yWindow="1920" windowWidth="17760" windowHeight="11295" xr2:uid="{0140963E-477F-490E-8B98-018CFB62E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K16" i="1" s="1"/>
  <c r="H15" i="1"/>
  <c r="I16" i="1" s="1"/>
  <c r="J9" i="1"/>
  <c r="K10" i="1" s="1"/>
  <c r="H9" i="1"/>
  <c r="I10" i="1" s="1"/>
  <c r="K5" i="1"/>
  <c r="J5" i="1"/>
  <c r="I5" i="1"/>
  <c r="H5" i="1"/>
  <c r="J4" i="1"/>
  <c r="H4" i="1"/>
  <c r="F15" i="1"/>
  <c r="E15" i="1"/>
  <c r="H16" i="1" l="1"/>
  <c r="J16" i="1"/>
  <c r="H10" i="1"/>
  <c r="J10" i="1"/>
</calcChain>
</file>

<file path=xl/sharedStrings.xml><?xml version="1.0" encoding="utf-8"?>
<sst xmlns="http://schemas.openxmlformats.org/spreadsheetml/2006/main" count="17" uniqueCount="10">
  <si>
    <t>90% CI</t>
  </si>
  <si>
    <t>95% CI</t>
  </si>
  <si>
    <t>SD</t>
  </si>
  <si>
    <t>AGBD (Mg/ha)</t>
  </si>
  <si>
    <t>Scale</t>
  </si>
  <si>
    <t>Tree Cover from Hansen GLAD 2019</t>
  </si>
  <si>
    <t>Country (Forest Mask)</t>
  </si>
  <si>
    <t>40-100</t>
  </si>
  <si>
    <t>10-40</t>
  </si>
  <si>
    <t>EF_GEDI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</si>
</sst>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F0F7-D7CA-4C30-B16D-C150634994F7}">
  <dimension ref="C2:K16"/>
  <sheetViews>
    <sheetView tabSelected="1" topLeftCell="C1" workbookViewId="0">
      <selection activeCell="G17" sqref="G17"/>
    </sheetView>
  </sheetViews>
  <sheetFormatPr defaultRowHeight="15" x14ac:dyDescent="0.25"/>
  <cols>
    <col min="3" max="3" width="20.7109375" bestFit="1" customWidth="1"/>
    <col min="4" max="4" width="32.5703125" bestFit="1" customWidth="1"/>
    <col min="5" max="5" width="14.140625" customWidth="1"/>
    <col min="6" max="6" width="10.5703125" bestFit="1" customWidth="1"/>
    <col min="7" max="7" width="13.7109375" bestFit="1" customWidth="1"/>
    <col min="8" max="11" width="9.5703125" bestFit="1" customWidth="1"/>
  </cols>
  <sheetData>
    <row r="2" spans="3:11" x14ac:dyDescent="0.25">
      <c r="H2" s="1">
        <v>1.64</v>
      </c>
      <c r="I2" s="1"/>
      <c r="J2" s="1">
        <v>1.96</v>
      </c>
    </row>
    <row r="3" spans="3:11" x14ac:dyDescent="0.25">
      <c r="C3" t="s">
        <v>4</v>
      </c>
      <c r="D3" t="s">
        <v>5</v>
      </c>
      <c r="E3" s="1" t="s">
        <v>3</v>
      </c>
      <c r="F3" s="1" t="s">
        <v>2</v>
      </c>
      <c r="G3" s="1"/>
      <c r="H3" s="2" t="s">
        <v>0</v>
      </c>
      <c r="I3" s="1"/>
      <c r="J3" s="2" t="s">
        <v>1</v>
      </c>
      <c r="K3" s="1"/>
    </row>
    <row r="4" spans="3:11" x14ac:dyDescent="0.25">
      <c r="C4" t="s">
        <v>6</v>
      </c>
      <c r="D4" s="3" t="s">
        <v>8</v>
      </c>
      <c r="E4" s="1">
        <v>124.95</v>
      </c>
      <c r="F4" s="1">
        <v>136.99</v>
      </c>
      <c r="G4" s="1"/>
      <c r="H4" s="1">
        <f>H2*F4</f>
        <v>224.6636</v>
      </c>
      <c r="I4" s="1"/>
      <c r="J4" s="1">
        <f>J2*F4</f>
        <v>268.50040000000001</v>
      </c>
      <c r="K4" s="1"/>
    </row>
    <row r="5" spans="3:11" x14ac:dyDescent="0.25">
      <c r="G5" s="1"/>
      <c r="H5" s="1">
        <f>E4-H4</f>
        <v>-99.7136</v>
      </c>
      <c r="I5" s="1">
        <f>E4+H4</f>
        <v>349.61360000000002</v>
      </c>
      <c r="J5" s="1">
        <f>E4-J4</f>
        <v>-143.55040000000002</v>
      </c>
      <c r="K5" s="1">
        <f>E4+J4</f>
        <v>393.4504</v>
      </c>
    </row>
    <row r="7" spans="3:11" x14ac:dyDescent="0.25">
      <c r="H7" s="1">
        <v>1.64</v>
      </c>
      <c r="I7" s="1"/>
      <c r="J7" s="1">
        <v>1.96</v>
      </c>
    </row>
    <row r="8" spans="3:11" x14ac:dyDescent="0.25">
      <c r="G8" s="1"/>
      <c r="H8" s="2" t="s">
        <v>0</v>
      </c>
      <c r="I8" s="1"/>
      <c r="J8" s="2" t="s">
        <v>1</v>
      </c>
      <c r="K8" s="1"/>
    </row>
    <row r="9" spans="3:11" x14ac:dyDescent="0.25">
      <c r="C9" t="s">
        <v>6</v>
      </c>
      <c r="D9" t="s">
        <v>7</v>
      </c>
      <c r="E9" s="1">
        <v>197.54</v>
      </c>
      <c r="F9" s="1">
        <v>171.55</v>
      </c>
      <c r="H9" s="1">
        <f>H7*F9</f>
        <v>281.34199999999998</v>
      </c>
      <c r="I9" s="1"/>
      <c r="J9" s="1">
        <f>J7*F9</f>
        <v>336.238</v>
      </c>
      <c r="K9" s="1"/>
    </row>
    <row r="10" spans="3:11" x14ac:dyDescent="0.25">
      <c r="H10" s="1">
        <f>E9-H9</f>
        <v>-83.801999999999992</v>
      </c>
      <c r="I10" s="1">
        <f>E9+H9</f>
        <v>478.88199999999995</v>
      </c>
      <c r="J10" s="1">
        <f>E9-J9</f>
        <v>-138.69800000000001</v>
      </c>
      <c r="K10" s="1">
        <f>E9+J9</f>
        <v>533.77800000000002</v>
      </c>
    </row>
    <row r="13" spans="3:11" x14ac:dyDescent="0.25">
      <c r="E13" s="1"/>
      <c r="F13" s="1"/>
      <c r="G13" s="1"/>
      <c r="H13" s="1">
        <v>1.64</v>
      </c>
      <c r="I13" s="1"/>
      <c r="J13" s="1">
        <v>1.96</v>
      </c>
    </row>
    <row r="14" spans="3:11" x14ac:dyDescent="0.25">
      <c r="D14" t="s">
        <v>9</v>
      </c>
      <c r="E14" s="1" t="s">
        <v>3</v>
      </c>
      <c r="F14" s="1" t="s">
        <v>2</v>
      </c>
      <c r="G14" s="1"/>
      <c r="H14" s="2" t="s">
        <v>0</v>
      </c>
      <c r="I14" s="1"/>
      <c r="J14" s="2" t="s">
        <v>1</v>
      </c>
      <c r="K14" s="1"/>
    </row>
    <row r="15" spans="3:11" x14ac:dyDescent="0.25">
      <c r="E15" s="1">
        <f>E9-E4</f>
        <v>72.589999999999989</v>
      </c>
      <c r="F15" s="1">
        <f>SQRT(F4^2+F9^2)</f>
        <v>219.53510562094621</v>
      </c>
      <c r="G15" s="1"/>
      <c r="H15" s="1">
        <f>H13*F15</f>
        <v>360.03757321835178</v>
      </c>
      <c r="I15" s="1"/>
      <c r="J15" s="1">
        <f>J13*F15</f>
        <v>430.28880701705458</v>
      </c>
      <c r="K15" s="1"/>
    </row>
    <row r="16" spans="3:11" x14ac:dyDescent="0.25">
      <c r="G16" s="1"/>
      <c r="H16" s="1">
        <f>E15-H15</f>
        <v>-287.44757321835181</v>
      </c>
      <c r="I16" s="1">
        <f>E15+H15</f>
        <v>432.62757321835176</v>
      </c>
      <c r="J16" s="1">
        <f>E15-J15</f>
        <v>-357.69880701705461</v>
      </c>
      <c r="K16" s="1">
        <f>E15+J15</f>
        <v>502.87880701705456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2024-07-18T22:35:44Z</dcterms:created>
  <dcterms:modified xsi:type="dcterms:W3CDTF">2024-07-19T00:01:45Z</dcterms:modified>
</cp:coreProperties>
</file>